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IbG6kKIudfxN5iDAH1ron/1FbTG5i0ttih7kmtnHWIQ="/>
    </ext>
  </extLst>
</workbook>
</file>

<file path=xl/sharedStrings.xml><?xml version="1.0" encoding="utf-8"?>
<sst xmlns="http://schemas.openxmlformats.org/spreadsheetml/2006/main" count="137" uniqueCount="77">
  <si>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</si>
  <si>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</si>
  <si>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</si>
  <si>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</si>
  <si>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</si>
  <si>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</si>
  <si>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</si>
  <si>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</si>
  <si>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</si>
  <si>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</si>
  <si>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</si>
  <si>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</si>
  <si>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</si>
  <si>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</si>
  <si>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</si>
  <si>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</si>
  <si>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</si>
  <si>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</si>
  <si>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</si>
  <si>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</si>
  <si>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</si>
  <si>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</si>
  <si>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</si>
  <si>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</si>
  <si>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</si>
  <si>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</si>
  <si>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</si>
  <si>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</si>
  <si>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</si>
  <si>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</si>
  <si>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</si>
  <si>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</si>
  <si>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HU-045</t>
  </si>
  <si>
    <t xml:space="preserve">Como psicólogo debo poder registrar y consultar reportes de progreso por paciente para llevar un seguimiento detallado de su evolución y generar informes cuando sea neceasrio
                </t>
  </si>
  <si>
    <t>Registro y lectura de reportes de seguimiento o progreso</t>
  </si>
  <si>
    <t>Miguel Román</t>
  </si>
  <si>
    <t>Hecho</t>
  </si>
  <si>
    <t>HU-054</t>
  </si>
  <si>
    <t xml:space="preserve">Como administrador debo exportar la información del dashboard en formato PDF para respaldar los datos y generar informes administrativos que puedan presentarse o archivarse fácilmente
                </t>
  </si>
  <si>
    <t>Exportación de información del Dashboard a formato PDF</t>
  </si>
  <si>
    <t>(No HU)</t>
  </si>
  <si>
    <t>Modificaciones a tablas redundantes en la base de datos</t>
  </si>
  <si>
    <t>Modificación BBDD</t>
  </si>
  <si>
    <t>HU-047</t>
  </si>
  <si>
    <t>Como psicólogo debo poder registrar y consultar reportes de progreso por paciente para llevar un seguimiento detallado de su evolución y generar informes cuando sea necesario.</t>
  </si>
  <si>
    <t>Desarrollo del módulo de registro y consulta de reportes de progreso por paciente</t>
  </si>
  <si>
    <t>Felipe Ríos</t>
  </si>
  <si>
    <t>HU-048</t>
  </si>
  <si>
    <t>Como psicólogo debo poder generar un reporte general de tareas cumplidas e incumplidas por mis pacientes para evaluar su adherencia terapéutica y orientar futuras intervenciones.</t>
  </si>
  <si>
    <t>Desarrollo del módulo de reporte general de tareas cumplidas/incumplidas</t>
  </si>
  <si>
    <t>HU-52</t>
  </si>
  <si>
    <t>Como Administrador y psicologo debo poder ver el dashboard en mi portal</t>
  </si>
  <si>
    <t>Acceso al dashboard en portal psicologo y portal andmin</t>
  </si>
  <si>
    <t>Bairon Campos</t>
  </si>
  <si>
    <t>HU-53</t>
  </si>
  <si>
    <t xml:space="preserve">Como sistema debo mostrar los dashboard con:
-Gráficas de barras/multilínea para visualizar sesiones por mes, horas trabajadas y evolución de pacientes.
Indicadores KPI como:
-Total de sesiones este mes
-Horas trabajadas acumuladas
-Tareas completadas vs. asignadas (porcentajes)
-Promedio de duración de las sesiones
-Pacientes activos
-Filtros por fecha, paciente y terapeuta.
</t>
  </si>
  <si>
    <t>Visualizaciones del dashboard</t>
  </si>
  <si>
    <t>HU-49</t>
  </si>
  <si>
    <t>Como terapeuta, necesito visualizar un dashboard de métricas terapéuticas mensual con:
-Total de sesiones por psicólogo
-Horas efectivas trabajadas
-Número de pacientes atendidos
-Estado de tareas (asignadas vs. completadas)</t>
  </si>
  <si>
    <t>Orlando Godoy</t>
  </si>
  <si>
    <t>[Enunciado de tarea 2]</t>
  </si>
  <si>
    <t>[Enunciado de tarea 3]</t>
  </si>
  <si>
    <t>[Enunciado de tarea 4]</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</si>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</sst>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8.0</v>
      </c>
      <c r="H6" s="10">
        <v>2.0</v>
      </c>
      <c r="I6" s="11">
        <f t="shared" ref="I6:I17" si="1">G6-H6</f>
        <v>6</v>
      </c>
      <c r="J6" s="12"/>
      <c r="K6" s="10">
        <v>2.0</v>
      </c>
      <c r="L6" s="11">
        <f t="shared" ref="L6:L17" si="2">I6-K6</f>
        <v>4</v>
      </c>
      <c r="M6" s="12"/>
      <c r="N6" s="10">
        <v>2.0</v>
      </c>
      <c r="O6" s="11">
        <f t="shared" ref="O6:O17" si="3">L6-N6</f>
        <v>2</v>
      </c>
      <c r="P6" s="12"/>
      <c r="Q6" s="10">
        <v>2.0</v>
      </c>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8</v>
      </c>
      <c r="BQ6" s="13">
        <f t="shared" ref="BQ6:BQ17" si="22">G6-BP6</f>
        <v>0</v>
      </c>
    </row>
    <row r="7">
      <c r="A7" s="1"/>
      <c r="B7" s="9" t="s">
        <v>37</v>
      </c>
      <c r="C7" s="9" t="s">
        <v>38</v>
      </c>
      <c r="D7" s="9" t="s">
        <v>39</v>
      </c>
      <c r="E7" s="9" t="s">
        <v>35</v>
      </c>
      <c r="F7" s="9" t="s">
        <v>36</v>
      </c>
      <c r="G7" s="9">
        <v>10.0</v>
      </c>
      <c r="H7" s="11"/>
      <c r="I7" s="11">
        <f t="shared" si="1"/>
        <v>10</v>
      </c>
      <c r="J7" s="12"/>
      <c r="K7" s="11"/>
      <c r="L7" s="11">
        <f t="shared" si="2"/>
        <v>10</v>
      </c>
      <c r="M7" s="12"/>
      <c r="N7" s="11"/>
      <c r="O7" s="11">
        <f t="shared" si="3"/>
        <v>10</v>
      </c>
      <c r="P7" s="12"/>
      <c r="Q7" s="11"/>
      <c r="R7" s="11">
        <f t="shared" si="4"/>
        <v>10</v>
      </c>
      <c r="S7" s="12"/>
      <c r="T7" s="10">
        <v>3.0</v>
      </c>
      <c r="U7" s="11">
        <f t="shared" si="5"/>
        <v>7</v>
      </c>
      <c r="V7" s="12"/>
      <c r="W7" s="10">
        <v>3.0</v>
      </c>
      <c r="X7" s="11">
        <f t="shared" si="6"/>
        <v>4</v>
      </c>
      <c r="Y7" s="12"/>
      <c r="Z7" s="10">
        <v>2.0</v>
      </c>
      <c r="AA7" s="11">
        <f t="shared" si="7"/>
        <v>2</v>
      </c>
      <c r="AB7" s="12"/>
      <c r="AC7" s="10">
        <v>2.0</v>
      </c>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10</v>
      </c>
      <c r="BQ7" s="13">
        <f t="shared" si="22"/>
        <v>0</v>
      </c>
    </row>
    <row r="8">
      <c r="A8" s="1"/>
      <c r="B8" s="9" t="s">
        <v>40</v>
      </c>
      <c r="C8" s="9" t="s">
        <v>41</v>
      </c>
      <c r="D8" s="9" t="s">
        <v>42</v>
      </c>
      <c r="E8" s="9" t="s">
        <v>35</v>
      </c>
      <c r="F8" s="9" t="s">
        <v>36</v>
      </c>
      <c r="G8" s="9">
        <v>6.0</v>
      </c>
      <c r="H8" s="11"/>
      <c r="I8" s="11">
        <f t="shared" si="1"/>
        <v>6</v>
      </c>
      <c r="J8" s="12"/>
      <c r="K8" s="11"/>
      <c r="L8" s="11">
        <f t="shared" si="2"/>
        <v>6</v>
      </c>
      <c r="M8" s="12"/>
      <c r="N8" s="11"/>
      <c r="O8" s="11">
        <f t="shared" si="3"/>
        <v>6</v>
      </c>
      <c r="P8" s="12"/>
      <c r="Q8" s="11"/>
      <c r="R8" s="11">
        <f t="shared" si="4"/>
        <v>6</v>
      </c>
      <c r="S8" s="12"/>
      <c r="T8" s="11"/>
      <c r="U8" s="11">
        <f t="shared" si="5"/>
        <v>6</v>
      </c>
      <c r="V8" s="12"/>
      <c r="W8" s="11"/>
      <c r="X8" s="11">
        <f t="shared" si="6"/>
        <v>6</v>
      </c>
      <c r="Y8" s="12"/>
      <c r="Z8" s="11"/>
      <c r="AA8" s="11">
        <f t="shared" si="7"/>
        <v>6</v>
      </c>
      <c r="AB8" s="12"/>
      <c r="AC8" s="11"/>
      <c r="AD8" s="11">
        <f t="shared" si="8"/>
        <v>6</v>
      </c>
      <c r="AE8" s="12"/>
      <c r="AF8" s="10">
        <v>3.0</v>
      </c>
      <c r="AG8" s="11">
        <f t="shared" si="9"/>
        <v>3</v>
      </c>
      <c r="AH8" s="12"/>
      <c r="AI8" s="10">
        <v>3.0</v>
      </c>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6</v>
      </c>
      <c r="BQ8" s="13">
        <f t="shared" si="22"/>
        <v>0</v>
      </c>
    </row>
    <row r="9">
      <c r="A9" s="1"/>
      <c r="B9" s="9" t="s">
        <v>43</v>
      </c>
      <c r="C9" s="9" t="s">
        <v>44</v>
      </c>
      <c r="D9" s="9" t="s">
        <v>45</v>
      </c>
      <c r="E9" s="9" t="s">
        <v>46</v>
      </c>
      <c r="F9" s="9" t="s">
        <v>36</v>
      </c>
      <c r="G9" s="9">
        <v>5.0</v>
      </c>
      <c r="H9" s="10">
        <v>3.0</v>
      </c>
      <c r="I9" s="11">
        <f t="shared" si="1"/>
        <v>2</v>
      </c>
      <c r="J9" s="12"/>
      <c r="K9" s="10">
        <v>2.0</v>
      </c>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5</v>
      </c>
      <c r="BQ9" s="13">
        <f t="shared" si="22"/>
        <v>0</v>
      </c>
    </row>
    <row r="10">
      <c r="A10" s="1"/>
      <c r="B10" s="9" t="s">
        <v>47</v>
      </c>
      <c r="C10" s="9" t="s">
        <v>48</v>
      </c>
      <c r="D10" s="9" t="s">
        <v>49</v>
      </c>
      <c r="E10" s="9" t="s">
        <v>46</v>
      </c>
      <c r="F10" s="9" t="s">
        <v>36</v>
      </c>
      <c r="G10" s="9">
        <v>6.0</v>
      </c>
      <c r="H10" s="10">
        <v>3.0</v>
      </c>
      <c r="I10" s="11">
        <f t="shared" si="1"/>
        <v>3</v>
      </c>
      <c r="J10" s="12"/>
      <c r="K10" s="10">
        <v>3.0</v>
      </c>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6</v>
      </c>
      <c r="BQ10" s="13">
        <f t="shared" si="22"/>
        <v>0</v>
      </c>
    </row>
    <row r="11">
      <c r="A11" s="1"/>
      <c r="B11" s="9" t="s">
        <v>50</v>
      </c>
      <c r="C11" s="9" t="s">
        <v>51</v>
      </c>
      <c r="D11" s="9" t="s">
        <v>52</v>
      </c>
      <c r="E11" s="9" t="s">
        <v>53</v>
      </c>
      <c r="F11" s="9" t="s">
        <v>36</v>
      </c>
      <c r="G11" s="9">
        <v>5.0</v>
      </c>
      <c r="H11" s="10">
        <v>2.0</v>
      </c>
      <c r="I11" s="11">
        <f t="shared" si="1"/>
        <v>3</v>
      </c>
      <c r="J11" s="12"/>
      <c r="K11" s="10">
        <v>1.0</v>
      </c>
      <c r="L11" s="11">
        <f t="shared" si="2"/>
        <v>2</v>
      </c>
      <c r="M11" s="12"/>
      <c r="N11" s="10">
        <v>2.0</v>
      </c>
      <c r="O11" s="11">
        <f t="shared" si="3"/>
        <v>0</v>
      </c>
      <c r="P11" s="12"/>
      <c r="Q11" s="10"/>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5</v>
      </c>
      <c r="BQ11" s="13">
        <f t="shared" si="22"/>
        <v>0</v>
      </c>
    </row>
    <row r="12">
      <c r="A12" s="1"/>
      <c r="B12" s="9" t="s">
        <v>54</v>
      </c>
      <c r="C12" s="9" t="s">
        <v>55</v>
      </c>
      <c r="D12" s="9" t="s">
        <v>56</v>
      </c>
      <c r="E12" s="9" t="s">
        <v>53</v>
      </c>
      <c r="F12" s="9" t="s">
        <v>36</v>
      </c>
      <c r="G12" s="9">
        <v>8.0</v>
      </c>
      <c r="H12" s="11"/>
      <c r="I12" s="11">
        <f t="shared" si="1"/>
        <v>8</v>
      </c>
      <c r="J12" s="12"/>
      <c r="K12" s="11"/>
      <c r="L12" s="11">
        <f t="shared" si="2"/>
        <v>8</v>
      </c>
      <c r="M12" s="12"/>
      <c r="N12" s="11"/>
      <c r="O12" s="11">
        <f t="shared" si="3"/>
        <v>8</v>
      </c>
      <c r="P12" s="12"/>
      <c r="Q12" s="10">
        <v>3.0</v>
      </c>
      <c r="R12" s="11">
        <f t="shared" si="4"/>
        <v>5</v>
      </c>
      <c r="S12" s="12"/>
      <c r="T12" s="10">
        <v>3.0</v>
      </c>
      <c r="U12" s="11">
        <f t="shared" si="5"/>
        <v>2</v>
      </c>
      <c r="V12" s="12"/>
      <c r="W12" s="10">
        <v>2.0</v>
      </c>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8</v>
      </c>
      <c r="BQ12" s="13">
        <f t="shared" si="22"/>
        <v>0</v>
      </c>
    </row>
    <row r="13">
      <c r="A13" s="1"/>
      <c r="B13" s="9" t="s">
        <v>57</v>
      </c>
      <c r="C13" s="9" t="s">
        <v>58</v>
      </c>
      <c r="D13" s="9" t="s">
        <v>56</v>
      </c>
      <c r="E13" s="9" t="s">
        <v>59</v>
      </c>
      <c r="F13" s="9" t="s">
        <v>36</v>
      </c>
      <c r="G13" s="9">
        <v>7.0</v>
      </c>
      <c r="H13" s="10">
        <v>2.0</v>
      </c>
      <c r="I13" s="11">
        <f t="shared" si="1"/>
        <v>5</v>
      </c>
      <c r="J13" s="12"/>
      <c r="K13" s="10">
        <v>2.0</v>
      </c>
      <c r="L13" s="11">
        <f t="shared" si="2"/>
        <v>3</v>
      </c>
      <c r="M13" s="12"/>
      <c r="N13" s="10">
        <v>1.0</v>
      </c>
      <c r="O13" s="11">
        <f t="shared" si="3"/>
        <v>2</v>
      </c>
      <c r="P13" s="12"/>
      <c r="Q13" s="10">
        <v>1.0</v>
      </c>
      <c r="R13" s="11">
        <f t="shared" si="4"/>
        <v>1</v>
      </c>
      <c r="S13" s="12"/>
      <c r="T13" s="10">
        <v>1.0</v>
      </c>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7</v>
      </c>
      <c r="BQ13" s="13">
        <f t="shared" si="22"/>
        <v>0</v>
      </c>
    </row>
    <row r="14">
      <c r="A14" s="1"/>
      <c r="B14" s="9"/>
      <c r="C14" s="9"/>
      <c r="D14" s="14"/>
      <c r="E14" s="14"/>
      <c r="F14" s="9"/>
      <c r="G14" s="14"/>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0</v>
      </c>
      <c r="BQ14" s="13">
        <f t="shared" si="22"/>
        <v>0</v>
      </c>
    </row>
    <row r="15">
      <c r="A15" s="1"/>
      <c r="B15" s="14">
        <v>10.0</v>
      </c>
      <c r="C15" s="14"/>
      <c r="D15" s="14" t="s">
        <v>60</v>
      </c>
      <c r="E15" s="14"/>
      <c r="F15" s="14"/>
      <c r="G15" s="14"/>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0</v>
      </c>
      <c r="BQ15" s="13">
        <f t="shared" si="22"/>
        <v>0</v>
      </c>
    </row>
    <row r="16">
      <c r="A16" s="1"/>
      <c r="B16" s="14">
        <v>11.0</v>
      </c>
      <c r="C16" s="14"/>
      <c r="D16" s="14" t="s">
        <v>61</v>
      </c>
      <c r="E16" s="14"/>
      <c r="F16" s="14"/>
      <c r="G16" s="14"/>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0</v>
      </c>
      <c r="BQ16" s="13">
        <f t="shared" si="22"/>
        <v>0</v>
      </c>
    </row>
    <row r="17">
      <c r="A17" s="1"/>
      <c r="B17" s="14">
        <v>12.0</v>
      </c>
      <c r="C17" s="14"/>
      <c r="D17" s="14" t="s">
        <v>62</v>
      </c>
      <c r="E17" s="14"/>
      <c r="F17" s="14"/>
      <c r="G17" s="14"/>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3">
        <f t="shared" si="21"/>
        <v>0</v>
      </c>
      <c r="BQ17" s="13">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63</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64</v>
      </c>
      <c r="C4" s="15" t="s">
        <v>65</v>
      </c>
      <c r="D4" s="1"/>
      <c r="E4" s="1"/>
      <c r="F4" s="1"/>
      <c r="G4" s="1"/>
      <c r="H4" s="1"/>
      <c r="I4" s="1"/>
      <c r="J4" s="1"/>
      <c r="K4" s="1"/>
      <c r="L4" s="1"/>
      <c r="M4" s="1"/>
      <c r="N4" s="1"/>
      <c r="O4" s="1"/>
      <c r="P4" s="1"/>
      <c r="Q4" s="1"/>
      <c r="R4" s="1"/>
      <c r="S4" s="1"/>
      <c r="T4" s="1"/>
      <c r="U4" s="1"/>
      <c r="V4" s="1"/>
      <c r="W4" s="1"/>
      <c r="X4" s="1"/>
      <c r="Y4" s="1"/>
      <c r="Z4" s="1"/>
    </row>
    <row r="5">
      <c r="A5" s="1"/>
      <c r="B5" s="14" t="str">
        <f>'Historias de Usuario'!B5</f>
        <v>Identificador (ID) de item de product backlog</v>
      </c>
      <c r="C5" s="14" t="s">
        <v>66</v>
      </c>
      <c r="D5" s="1"/>
      <c r="E5" s="1"/>
      <c r="F5" s="1"/>
      <c r="G5" s="1"/>
      <c r="H5" s="1"/>
      <c r="I5" s="1"/>
      <c r="J5" s="1"/>
      <c r="K5" s="1"/>
      <c r="L5" s="1"/>
      <c r="M5" s="1"/>
      <c r="N5" s="1"/>
      <c r="O5" s="1"/>
      <c r="P5" s="1"/>
      <c r="Q5" s="1"/>
      <c r="R5" s="1"/>
      <c r="S5" s="1"/>
      <c r="T5" s="1"/>
      <c r="U5" s="1"/>
      <c r="V5" s="1"/>
      <c r="W5" s="1"/>
      <c r="X5" s="1"/>
      <c r="Y5" s="1"/>
      <c r="Z5" s="1"/>
    </row>
    <row r="6">
      <c r="A6" s="1"/>
      <c r="B6" s="14" t="str">
        <f>'Historias de Usuario'!C5</f>
        <v>Enunciado del item de Product Backlog</v>
      </c>
      <c r="C6" s="14" t="s">
        <v>67</v>
      </c>
      <c r="D6" s="1"/>
      <c r="E6" s="1"/>
      <c r="F6" s="1"/>
      <c r="G6" s="1"/>
      <c r="H6" s="1"/>
      <c r="I6" s="1"/>
      <c r="J6" s="1"/>
      <c r="K6" s="1"/>
      <c r="L6" s="1"/>
      <c r="M6" s="1"/>
      <c r="N6" s="1"/>
      <c r="O6" s="1"/>
      <c r="P6" s="1"/>
      <c r="Q6" s="1"/>
      <c r="R6" s="1"/>
      <c r="S6" s="1"/>
      <c r="T6" s="1"/>
      <c r="U6" s="1"/>
      <c r="V6" s="1"/>
      <c r="W6" s="1"/>
      <c r="X6" s="1"/>
      <c r="Y6" s="1"/>
      <c r="Z6" s="1"/>
    </row>
    <row r="7">
      <c r="A7" s="1"/>
      <c r="B7" s="14" t="s">
        <v>26</v>
      </c>
      <c r="C7" s="14" t="s">
        <v>68</v>
      </c>
      <c r="D7" s="1"/>
      <c r="E7" s="1"/>
      <c r="F7" s="1"/>
      <c r="G7" s="1"/>
      <c r="H7" s="1"/>
      <c r="I7" s="1"/>
      <c r="J7" s="1"/>
      <c r="K7" s="1"/>
      <c r="L7" s="1"/>
      <c r="M7" s="1"/>
      <c r="N7" s="1"/>
      <c r="O7" s="1"/>
      <c r="P7" s="1"/>
      <c r="Q7" s="1"/>
      <c r="R7" s="1"/>
      <c r="S7" s="1"/>
      <c r="T7" s="1"/>
      <c r="U7" s="1"/>
      <c r="V7" s="1"/>
      <c r="W7" s="1"/>
      <c r="X7" s="1"/>
      <c r="Y7" s="1"/>
      <c r="Z7" s="1"/>
    </row>
    <row r="8">
      <c r="A8" s="1"/>
      <c r="B8" s="14" t="s">
        <v>27</v>
      </c>
      <c r="C8" s="14" t="s">
        <v>69</v>
      </c>
      <c r="D8" s="1"/>
      <c r="E8" s="1"/>
      <c r="F8" s="1"/>
      <c r="G8" s="1"/>
      <c r="H8" s="1"/>
      <c r="I8" s="1"/>
      <c r="J8" s="1"/>
      <c r="K8" s="1"/>
      <c r="L8" s="1"/>
      <c r="M8" s="1"/>
      <c r="N8" s="1"/>
      <c r="O8" s="1"/>
      <c r="P8" s="1"/>
      <c r="Q8" s="1"/>
      <c r="R8" s="1"/>
      <c r="S8" s="1"/>
      <c r="T8" s="1"/>
      <c r="U8" s="1"/>
      <c r="V8" s="1"/>
      <c r="W8" s="1"/>
      <c r="X8" s="1"/>
      <c r="Y8" s="1"/>
      <c r="Z8" s="1"/>
    </row>
    <row r="9">
      <c r="A9" s="1"/>
      <c r="B9" s="14" t="s">
        <v>28</v>
      </c>
      <c r="C9" s="14" t="s">
        <v>70</v>
      </c>
      <c r="D9" s="1"/>
      <c r="E9" s="1"/>
      <c r="F9" s="1"/>
      <c r="G9" s="1"/>
      <c r="H9" s="1"/>
      <c r="I9" s="1"/>
      <c r="J9" s="1"/>
      <c r="K9" s="1"/>
      <c r="L9" s="1"/>
      <c r="M9" s="1"/>
      <c r="N9" s="1"/>
      <c r="O9" s="1"/>
      <c r="P9" s="1"/>
      <c r="Q9" s="1"/>
      <c r="R9" s="1"/>
      <c r="S9" s="1"/>
      <c r="T9" s="1"/>
      <c r="U9" s="1"/>
      <c r="V9" s="1"/>
      <c r="W9" s="1"/>
      <c r="X9" s="1"/>
      <c r="Y9" s="1"/>
      <c r="Z9" s="1"/>
    </row>
    <row r="10">
      <c r="A10" s="1"/>
      <c r="B10" s="14" t="s">
        <v>29</v>
      </c>
      <c r="C10" s="14" t="s">
        <v>71</v>
      </c>
      <c r="D10" s="1"/>
      <c r="E10" s="1"/>
      <c r="F10" s="1"/>
      <c r="G10" s="1"/>
      <c r="H10" s="1"/>
      <c r="I10" s="1"/>
      <c r="J10" s="1"/>
      <c r="K10" s="1"/>
      <c r="L10" s="1"/>
      <c r="M10" s="1"/>
      <c r="N10" s="1"/>
      <c r="O10" s="1"/>
      <c r="P10" s="1"/>
      <c r="Q10" s="1"/>
      <c r="R10" s="1"/>
      <c r="S10" s="1"/>
      <c r="T10" s="1"/>
      <c r="U10" s="1"/>
      <c r="V10" s="1"/>
      <c r="W10" s="1"/>
      <c r="X10" s="1"/>
      <c r="Y10" s="1"/>
      <c r="Z10" s="1"/>
    </row>
    <row r="11">
      <c r="A11" s="1"/>
      <c r="B11" s="14" t="s">
        <v>72</v>
      </c>
      <c r="C11" s="14" t="s">
        <v>73</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74</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75</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76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