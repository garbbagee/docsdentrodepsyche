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l05OzxmYPOZi9iJ3gI/hru0d5Cii3lSgB/zFH0xOydY="/>
    </ext>
  </extLst>
</workbook>
</file>

<file path=xl/sharedStrings.xml><?xml version="1.0" encoding="utf-8"?>
<sst xmlns="http://schemas.openxmlformats.org/spreadsheetml/2006/main" count="175" uniqueCount="104">
  <si>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</si>
  <si>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</si>
  <si>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</si>
  <si>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</si>
  <si>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</si>
  <si>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</si>
  <si>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</si>
  <si>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</si>
  <si>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</si>
  <si>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</si>
  <si>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</si>
  <si>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</si>
  <si>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</si>
  <si>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</si>
  <si>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</si>
  <si>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</si>
  <si>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</si>
  <si>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</si>
  <si>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</si>
  <si>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</si>
  <si>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</si>
  <si>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</si>
  <si>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</si>
  <si>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</si>
  <si>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</si>
  <si>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</si>
  <si>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</si>
  <si>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</si>
  <si>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</si>
  <si>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</si>
  <si>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</si>
  <si>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</si>
  <si>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HU-024</t>
  </si>
  <si>
    <t>Como psicólogo debo visualizar si los pacientes han realizado sus tareas asignadas con la finalidad de hacer seguimiento al proceso</t>
  </si>
  <si>
    <t>Read para consultar tareas</t>
  </si>
  <si>
    <t>Miguel Román</t>
  </si>
  <si>
    <t>Hecho</t>
  </si>
  <si>
    <t>HU-25</t>
  </si>
  <si>
    <t>Como paciente debo ver y marcar tareas como completadas con la finalidad de permitir que el paciente indique su progreso y el psicólogo pueda hacer seguimiento del cumplimiento de las actividades terapéuticas</t>
  </si>
  <si>
    <t>Interaccion y marcarje para tareas desde la vista del paciente</t>
  </si>
  <si>
    <t xml:space="preserve"> HU-005</t>
  </si>
  <si>
    <t>Como sistema debe registrar automáticamente la fecha, hora de inicio, duración, paciente atendido y psicólogo responsable al finalizar cada sesión clínica, también cualquier modificación realizada a la ficha clínica.</t>
  </si>
  <si>
    <t>Registro de sesiones clínicas</t>
  </si>
  <si>
    <t>Orlando Godoy</t>
  </si>
  <si>
    <t>HU-12</t>
  </si>
  <si>
    <t>Como un psicólogo, necesito crear una nueva ficha clínica para un paciente, con la finalidad de registrar su información clínica inicial y dar seguimiento a su tratamiento.</t>
  </si>
  <si>
    <t xml:space="preserve"> Diseñar formulario, validar campos, guardar en base de datos, restringir acceso por rol y mostrar confirmación</t>
  </si>
  <si>
    <t>HU-14</t>
  </si>
  <si>
    <t>Como paciente, necesito ver mi ficha clínica personal, con la finalidad de revisar mi información médica y estar informado sobre mi estado de salud.</t>
  </si>
  <si>
    <t>Mostrar ficha al paciente logueado, restringir acceso a otras fichas y adaptar vista a móviles.</t>
  </si>
  <si>
    <t>HU-15</t>
  </si>
  <si>
    <t>Como un psicólogo, necesito editar los datos personales y clínicos de un paciente, con la finalidad de mantener actualizada su información y asegurar la calidad del tratamiento.</t>
  </si>
  <si>
    <t xml:space="preserve"> Habilitar edición para psicólogo, validar cambios, actualizar base de datos y registrar modificaciones.
</t>
  </si>
  <si>
    <t>HU-059</t>
  </si>
  <si>
    <t>Como sistema debo cerrar automáticamente la sesión del usuario tras 15 minutos de inactividad, con la finalidad de proteger la seguridad de la información y evitar accesos no autorizados en sesiones abiertas.</t>
  </si>
  <si>
    <t>Implementar un logout cronometrado por inactividad</t>
  </si>
  <si>
    <t>Felipe Ríos</t>
  </si>
  <si>
    <t>HU-060</t>
  </si>
  <si>
    <t>Como sistema debo contar con validación de tokens para la creación de cuentas vía email con la finalidad de validar registros.</t>
  </si>
  <si>
    <t>Validacion via email</t>
  </si>
  <si>
    <t>hecho</t>
  </si>
  <si>
    <t>HU-070</t>
  </si>
  <si>
    <t>Como Sistema quiero que el correo de activación sea compatible con los principales servicios de correo (como Gmail) asegurar que los usuarios puedan ver y usar correctamente el correo de activación</t>
  </si>
  <si>
    <t>Compatibilidad en visibilidad del correo</t>
  </si>
  <si>
    <t>HU-23</t>
  </si>
  <si>
    <t>Como psicólogo, debo poder crear y asignar tareas personalizadas a mis pacientes mediante un formulario avanzado, especificando el tipo de tarea, descripción, instrucciones, etc</t>
  </si>
  <si>
    <t>Con la finalidad de entregar tareas, ejercicios, materiales y recursos terapeuticos y personalizados a cada paciente.</t>
  </si>
  <si>
    <t>En proceso</t>
  </si>
  <si>
    <t>HU-26</t>
  </si>
  <si>
    <t>Como paciente, debo poder visualizar y realizar las tareas que me asigne mi psicólogo directamente desde el sistema.</t>
  </si>
  <si>
    <t>Con la finalidad de acceder a los materiales terapéuticos para realizar las actividades.</t>
  </si>
  <si>
    <t>HU-30</t>
  </si>
  <si>
    <t>Como psicólogo, debo poder registrar estrategias de autorregulación personalizadas para cada paciente en su ficha clínica.</t>
  </si>
  <si>
    <t>Con la finalidad de brindar herramientas terapéuticas personalizadas que ayuden al paciente en situaciones de estrés o crisis.</t>
  </si>
  <si>
    <t>En Proceso</t>
  </si>
  <si>
    <t>HU-018</t>
  </si>
  <si>
    <t>Auditoría del sistema (logs)</t>
  </si>
  <si>
    <t>Consultar y auditar la actividad de todos los usuarios. (visualizar logs)</t>
  </si>
  <si>
    <t>Bairon Campos</t>
  </si>
  <si>
    <t>Hecha</t>
  </si>
  <si>
    <t>HU-027</t>
  </si>
  <si>
    <t>Historial de sesiones</t>
  </si>
  <si>
    <t>El sistema debe registrar cada sesión realizada y permitir su visualización tanto para el psicólogo como para el paciente desde sus respectivas vistas.</t>
  </si>
  <si>
    <t>HU-028</t>
  </si>
  <si>
    <t>Evaluación de evolución por sesión</t>
  </si>
  <si>
    <t>Escribir dentro de una bitácorala evolución del paciente por sesión.</t>
  </si>
  <si>
    <t>HU-029</t>
  </si>
  <si>
    <t>Ver recordatorios enviados al paciente.</t>
  </si>
  <si>
    <t>Consultar recordatorios enviados a pacientes</t>
  </si>
  <si>
    <t>HU-37</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</si>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</sst>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D9D9"/>
        <bgColor rgb="FFD9D9D9"/>
      </patternFill>
    </fill>
    <fill>
      <patternFill patternType="solid">
        <fgColor rgb="FFD6E3BC"/>
        <bgColor rgb="FFD6E3BC"/>
      </patternFill>
    </fill>
    <fill>
      <patternFill patternType="solid">
        <fgColor rgb="FFB8CCE4"/>
        <bgColor rgb="FFB8CCE4"/>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2" fontId="1" numFmtId="0" xfId="0" applyAlignment="1" applyBorder="1" applyFont="1">
      <alignment horizontal="left" readingOrder="0" shrinkToFit="0" vertical="top" wrapText="1"/>
    </xf>
    <xf borderId="0" fillId="0" fontId="6" numFmtId="0" xfId="0" applyAlignment="1" applyFont="1">
      <alignment readingOrder="0" vertical="top"/>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7" fillId="2" fontId="1" numFmtId="0" xfId="0" applyBorder="1" applyFont="1"/>
    <xf borderId="5" fillId="2" fontId="1" numFmtId="0" xfId="0" applyAlignment="1" applyBorder="1" applyFont="1">
      <alignment readingOrder="0" vertical="top"/>
    </xf>
    <xf borderId="5" fillId="2" fontId="1" numFmtId="0" xfId="0" applyAlignment="1" applyBorder="1" applyFont="1">
      <alignment readingOrder="0" shrinkToFit="0" vertical="top" wrapText="1"/>
    </xf>
    <xf borderId="5" fillId="2" fontId="1" numFmtId="0" xfId="0" applyAlignment="1" applyBorder="1" applyFont="1">
      <alignment readingOrder="0" shrinkToFit="0" wrapText="1"/>
    </xf>
    <xf borderId="5" fillId="2" fontId="1" numFmtId="0" xfId="0" applyAlignment="1" applyBorder="1" applyFont="1">
      <alignment readingOrder="0"/>
    </xf>
    <xf borderId="0" fillId="0" fontId="6" numFmtId="0" xfId="0" applyAlignment="1" applyFont="1">
      <alignment readingOrder="0"/>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10" t="s">
        <v>33</v>
      </c>
      <c r="D6" s="11" t="s">
        <v>34</v>
      </c>
      <c r="E6" s="10" t="s">
        <v>35</v>
      </c>
      <c r="F6" s="10" t="s">
        <v>36</v>
      </c>
      <c r="G6" s="10">
        <v>4.0</v>
      </c>
      <c r="H6" s="12">
        <v>1.0</v>
      </c>
      <c r="I6" s="13">
        <f t="shared" ref="I6:I14" si="1">G6-H6</f>
        <v>3</v>
      </c>
      <c r="J6" s="14"/>
      <c r="K6" s="12">
        <v>1.0</v>
      </c>
      <c r="L6" s="13">
        <f t="shared" ref="L6:L14" si="2">I6-K6</f>
        <v>2</v>
      </c>
      <c r="M6" s="14"/>
      <c r="N6" s="12">
        <v>1.0</v>
      </c>
      <c r="O6" s="13">
        <f t="shared" ref="O6:O22" si="3">L6-N6</f>
        <v>1</v>
      </c>
      <c r="P6" s="14"/>
      <c r="Q6" s="12">
        <v>1.0</v>
      </c>
      <c r="R6" s="13">
        <f t="shared" ref="R6:R22" si="4">O6-Q6</f>
        <v>0</v>
      </c>
      <c r="S6" s="14"/>
      <c r="T6" s="12"/>
      <c r="U6" s="13">
        <f t="shared" ref="U6:U22" si="5">R6-T6</f>
        <v>0</v>
      </c>
      <c r="V6" s="14"/>
      <c r="W6" s="12"/>
      <c r="X6" s="13">
        <f t="shared" ref="X6:X22" si="6">U6-W6</f>
        <v>0</v>
      </c>
      <c r="Y6" s="14"/>
      <c r="Z6" s="13"/>
      <c r="AA6" s="13">
        <f t="shared" ref="AA6:AA22" si="7">X6-Z6</f>
        <v>0</v>
      </c>
      <c r="AB6" s="14"/>
      <c r="AC6" s="13"/>
      <c r="AD6" s="13">
        <f t="shared" ref="AD6:AD22" si="8">AA6-AC6</f>
        <v>0</v>
      </c>
      <c r="AE6" s="14"/>
      <c r="AF6" s="13"/>
      <c r="AG6" s="13">
        <f t="shared" ref="AG6:AG22" si="9">AD6-AF6</f>
        <v>0</v>
      </c>
      <c r="AH6" s="14"/>
      <c r="AI6" s="13"/>
      <c r="AJ6" s="13">
        <f t="shared" ref="AJ6:AJ22" si="10">AG6-AI6</f>
        <v>0</v>
      </c>
      <c r="AK6" s="14"/>
      <c r="AL6" s="13"/>
      <c r="AM6" s="13">
        <f t="shared" ref="AM6:AM22" si="11">AJ6-AL6</f>
        <v>0</v>
      </c>
      <c r="AN6" s="14"/>
      <c r="AO6" s="13"/>
      <c r="AP6" s="13">
        <f t="shared" ref="AP6:AP22" si="12">AM6-AO6</f>
        <v>0</v>
      </c>
      <c r="AQ6" s="14"/>
      <c r="AR6" s="13"/>
      <c r="AS6" s="13">
        <f t="shared" ref="AS6:AS22" si="13">AP6-AR6</f>
        <v>0</v>
      </c>
      <c r="AT6" s="14"/>
      <c r="AU6" s="13"/>
      <c r="AV6" s="13">
        <f t="shared" ref="AV6:AV22" si="14">AS6-AU6</f>
        <v>0</v>
      </c>
      <c r="AW6" s="14"/>
      <c r="AX6" s="13"/>
      <c r="AY6" s="13">
        <f t="shared" ref="AY6:AY22" si="15">AV6-AX6</f>
        <v>0</v>
      </c>
      <c r="AZ6" s="14"/>
      <c r="BA6" s="13"/>
      <c r="BB6" s="13">
        <f t="shared" ref="BB6:BB22" si="16">AY6-BA6</f>
        <v>0</v>
      </c>
      <c r="BC6" s="14"/>
      <c r="BD6" s="13"/>
      <c r="BE6" s="13">
        <f t="shared" ref="BE6:BE22" si="17">BB6-BD6</f>
        <v>0</v>
      </c>
      <c r="BF6" s="14"/>
      <c r="BG6" s="13"/>
      <c r="BH6" s="13">
        <f t="shared" ref="BH6:BH22" si="18">BE6-BG6</f>
        <v>0</v>
      </c>
      <c r="BI6" s="14"/>
      <c r="BJ6" s="13"/>
      <c r="BK6" s="13">
        <f t="shared" ref="BK6:BK22" si="19">BH6-BJ6</f>
        <v>0</v>
      </c>
      <c r="BL6" s="14"/>
      <c r="BM6" s="13"/>
      <c r="BN6" s="13">
        <f t="shared" ref="BN6:BN22" si="20">BK6-BM6</f>
        <v>0</v>
      </c>
      <c r="BO6" s="14"/>
      <c r="BP6" s="15">
        <f t="shared" ref="BP6:BP22" si="21">H6+K6+N6+Q6+T6+W6+Z6+AC6+AF6+AI6+AL6+AO6+AR6+AU6+AX6+BA6+BD6+BG6+BJ6+BM6</f>
        <v>4</v>
      </c>
      <c r="BQ6" s="15">
        <f t="shared" ref="BQ6:BQ22" si="22">G6-BP6</f>
        <v>0</v>
      </c>
    </row>
    <row r="7">
      <c r="A7" s="1"/>
      <c r="B7" s="10" t="s">
        <v>37</v>
      </c>
      <c r="C7" s="10" t="s">
        <v>38</v>
      </c>
      <c r="D7" s="10" t="s">
        <v>39</v>
      </c>
      <c r="E7" s="10" t="s">
        <v>35</v>
      </c>
      <c r="F7" s="10" t="s">
        <v>36</v>
      </c>
      <c r="G7" s="10">
        <v>6.0</v>
      </c>
      <c r="H7" s="12">
        <v>1.0</v>
      </c>
      <c r="I7" s="13">
        <f t="shared" si="1"/>
        <v>5</v>
      </c>
      <c r="J7" s="14"/>
      <c r="K7" s="12">
        <v>1.0</v>
      </c>
      <c r="L7" s="13">
        <f t="shared" si="2"/>
        <v>4</v>
      </c>
      <c r="M7" s="14"/>
      <c r="N7" s="12">
        <v>1.0</v>
      </c>
      <c r="O7" s="13">
        <f t="shared" si="3"/>
        <v>3</v>
      </c>
      <c r="P7" s="14"/>
      <c r="Q7" s="12">
        <v>1.0</v>
      </c>
      <c r="R7" s="13">
        <f t="shared" si="4"/>
        <v>2</v>
      </c>
      <c r="S7" s="14"/>
      <c r="T7" s="12">
        <v>1.0</v>
      </c>
      <c r="U7" s="13">
        <f t="shared" si="5"/>
        <v>1</v>
      </c>
      <c r="V7" s="14"/>
      <c r="W7" s="12">
        <v>1.0</v>
      </c>
      <c r="X7" s="13">
        <f t="shared" si="6"/>
        <v>0</v>
      </c>
      <c r="Y7" s="14"/>
      <c r="Z7" s="13"/>
      <c r="AA7" s="13">
        <f t="shared" si="7"/>
        <v>0</v>
      </c>
      <c r="AB7" s="14"/>
      <c r="AC7" s="13"/>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5">
        <f t="shared" si="21"/>
        <v>6</v>
      </c>
      <c r="BQ7" s="15">
        <f t="shared" si="22"/>
        <v>0</v>
      </c>
    </row>
    <row r="8">
      <c r="A8" s="1"/>
      <c r="B8" s="10" t="s">
        <v>40</v>
      </c>
      <c r="C8" s="10" t="s">
        <v>41</v>
      </c>
      <c r="D8" s="10" t="s">
        <v>42</v>
      </c>
      <c r="E8" s="10" t="s">
        <v>43</v>
      </c>
      <c r="F8" s="10" t="s">
        <v>36</v>
      </c>
      <c r="G8" s="10">
        <v>6.0</v>
      </c>
      <c r="H8" s="12">
        <v>1.0</v>
      </c>
      <c r="I8" s="13">
        <f t="shared" si="1"/>
        <v>5</v>
      </c>
      <c r="J8" s="14"/>
      <c r="K8" s="12">
        <v>1.0</v>
      </c>
      <c r="L8" s="13">
        <f t="shared" si="2"/>
        <v>4</v>
      </c>
      <c r="M8" s="14"/>
      <c r="N8" s="13"/>
      <c r="O8" s="13">
        <f t="shared" si="3"/>
        <v>4</v>
      </c>
      <c r="P8" s="14"/>
      <c r="Q8" s="13"/>
      <c r="R8" s="13">
        <f t="shared" si="4"/>
        <v>4</v>
      </c>
      <c r="S8" s="14"/>
      <c r="T8" s="13"/>
      <c r="U8" s="13">
        <f t="shared" si="5"/>
        <v>4</v>
      </c>
      <c r="V8" s="14"/>
      <c r="W8" s="13"/>
      <c r="X8" s="13">
        <f t="shared" si="6"/>
        <v>4</v>
      </c>
      <c r="Y8" s="14"/>
      <c r="Z8" s="13"/>
      <c r="AA8" s="13">
        <f t="shared" si="7"/>
        <v>4</v>
      </c>
      <c r="AB8" s="14"/>
      <c r="AC8" s="13"/>
      <c r="AD8" s="13">
        <f t="shared" si="8"/>
        <v>4</v>
      </c>
      <c r="AE8" s="14"/>
      <c r="AF8" s="13"/>
      <c r="AG8" s="13">
        <f t="shared" si="9"/>
        <v>4</v>
      </c>
      <c r="AH8" s="14"/>
      <c r="AI8" s="13"/>
      <c r="AJ8" s="13">
        <f t="shared" si="10"/>
        <v>4</v>
      </c>
      <c r="AK8" s="14"/>
      <c r="AL8" s="13"/>
      <c r="AM8" s="13">
        <f t="shared" si="11"/>
        <v>4</v>
      </c>
      <c r="AN8" s="14"/>
      <c r="AO8" s="13"/>
      <c r="AP8" s="13">
        <f t="shared" si="12"/>
        <v>4</v>
      </c>
      <c r="AQ8" s="14"/>
      <c r="AR8" s="13"/>
      <c r="AS8" s="13">
        <f t="shared" si="13"/>
        <v>4</v>
      </c>
      <c r="AT8" s="14"/>
      <c r="AU8" s="13"/>
      <c r="AV8" s="13">
        <f t="shared" si="14"/>
        <v>4</v>
      </c>
      <c r="AW8" s="14"/>
      <c r="AX8" s="13"/>
      <c r="AY8" s="13">
        <f t="shared" si="15"/>
        <v>4</v>
      </c>
      <c r="AZ8" s="14"/>
      <c r="BA8" s="13"/>
      <c r="BB8" s="13">
        <f t="shared" si="16"/>
        <v>4</v>
      </c>
      <c r="BC8" s="14"/>
      <c r="BD8" s="13"/>
      <c r="BE8" s="13">
        <f t="shared" si="17"/>
        <v>4</v>
      </c>
      <c r="BF8" s="14"/>
      <c r="BG8" s="13"/>
      <c r="BH8" s="13">
        <f t="shared" si="18"/>
        <v>4</v>
      </c>
      <c r="BI8" s="14"/>
      <c r="BJ8" s="13"/>
      <c r="BK8" s="13">
        <f t="shared" si="19"/>
        <v>4</v>
      </c>
      <c r="BL8" s="14"/>
      <c r="BM8" s="13"/>
      <c r="BN8" s="13">
        <f t="shared" si="20"/>
        <v>4</v>
      </c>
      <c r="BO8" s="14"/>
      <c r="BP8" s="15">
        <f t="shared" si="21"/>
        <v>2</v>
      </c>
      <c r="BQ8" s="15">
        <f t="shared" si="22"/>
        <v>4</v>
      </c>
    </row>
    <row r="9">
      <c r="A9" s="1"/>
      <c r="B9" s="10" t="s">
        <v>44</v>
      </c>
      <c r="C9" s="10" t="s">
        <v>45</v>
      </c>
      <c r="D9" s="10" t="s">
        <v>46</v>
      </c>
      <c r="E9" s="10" t="s">
        <v>43</v>
      </c>
      <c r="F9" s="10" t="s">
        <v>36</v>
      </c>
      <c r="G9" s="10">
        <v>2.0</v>
      </c>
      <c r="H9" s="12">
        <v>1.0</v>
      </c>
      <c r="I9" s="13">
        <f t="shared" si="1"/>
        <v>1</v>
      </c>
      <c r="J9" s="14"/>
      <c r="K9" s="12">
        <v>1.0</v>
      </c>
      <c r="L9" s="13">
        <f t="shared" si="2"/>
        <v>0</v>
      </c>
      <c r="M9" s="14"/>
      <c r="N9" s="13"/>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3"/>
      <c r="AG9" s="13">
        <f t="shared" si="9"/>
        <v>0</v>
      </c>
      <c r="AH9" s="14"/>
      <c r="AI9" s="13"/>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2</v>
      </c>
      <c r="BQ9" s="15">
        <f t="shared" si="22"/>
        <v>0</v>
      </c>
    </row>
    <row r="10">
      <c r="A10" s="1"/>
      <c r="B10" s="10" t="s">
        <v>47</v>
      </c>
      <c r="C10" s="10" t="s">
        <v>48</v>
      </c>
      <c r="D10" s="10" t="s">
        <v>49</v>
      </c>
      <c r="E10" s="10" t="s">
        <v>43</v>
      </c>
      <c r="F10" s="10" t="s">
        <v>36</v>
      </c>
      <c r="G10" s="10">
        <v>2.0</v>
      </c>
      <c r="H10" s="13"/>
      <c r="I10" s="13">
        <f t="shared" si="1"/>
        <v>2</v>
      </c>
      <c r="J10" s="14"/>
      <c r="K10" s="13"/>
      <c r="L10" s="13">
        <f t="shared" si="2"/>
        <v>2</v>
      </c>
      <c r="M10" s="14"/>
      <c r="N10" s="13"/>
      <c r="O10" s="13">
        <f t="shared" si="3"/>
        <v>2</v>
      </c>
      <c r="P10" s="14"/>
      <c r="Q10" s="13"/>
      <c r="R10" s="13">
        <f t="shared" si="4"/>
        <v>2</v>
      </c>
      <c r="S10" s="14"/>
      <c r="T10" s="13"/>
      <c r="U10" s="13">
        <f t="shared" si="5"/>
        <v>2</v>
      </c>
      <c r="V10" s="14"/>
      <c r="W10" s="13"/>
      <c r="X10" s="13">
        <f t="shared" si="6"/>
        <v>2</v>
      </c>
      <c r="Y10" s="14"/>
      <c r="Z10" s="13"/>
      <c r="AA10" s="13">
        <f t="shared" si="7"/>
        <v>2</v>
      </c>
      <c r="AB10" s="14"/>
      <c r="AC10" s="13"/>
      <c r="AD10" s="13">
        <f t="shared" si="8"/>
        <v>2</v>
      </c>
      <c r="AE10" s="14"/>
      <c r="AF10" s="13"/>
      <c r="AG10" s="13">
        <f t="shared" si="9"/>
        <v>2</v>
      </c>
      <c r="AH10" s="14"/>
      <c r="AI10" s="13"/>
      <c r="AJ10" s="13">
        <f t="shared" si="10"/>
        <v>2</v>
      </c>
      <c r="AK10" s="14"/>
      <c r="AL10" s="13"/>
      <c r="AM10" s="13">
        <f t="shared" si="11"/>
        <v>2</v>
      </c>
      <c r="AN10" s="14"/>
      <c r="AO10" s="13"/>
      <c r="AP10" s="13">
        <f t="shared" si="12"/>
        <v>2</v>
      </c>
      <c r="AQ10" s="14"/>
      <c r="AR10" s="13"/>
      <c r="AS10" s="13">
        <f t="shared" si="13"/>
        <v>2</v>
      </c>
      <c r="AT10" s="14"/>
      <c r="AU10" s="13"/>
      <c r="AV10" s="13">
        <f t="shared" si="14"/>
        <v>2</v>
      </c>
      <c r="AW10" s="14"/>
      <c r="AX10" s="13"/>
      <c r="AY10" s="13">
        <f t="shared" si="15"/>
        <v>2</v>
      </c>
      <c r="AZ10" s="14"/>
      <c r="BA10" s="13"/>
      <c r="BB10" s="13">
        <f t="shared" si="16"/>
        <v>2</v>
      </c>
      <c r="BC10" s="14"/>
      <c r="BD10" s="13"/>
      <c r="BE10" s="13">
        <f t="shared" si="17"/>
        <v>2</v>
      </c>
      <c r="BF10" s="14"/>
      <c r="BG10" s="13"/>
      <c r="BH10" s="13">
        <f t="shared" si="18"/>
        <v>2</v>
      </c>
      <c r="BI10" s="14"/>
      <c r="BJ10" s="13"/>
      <c r="BK10" s="13">
        <f t="shared" si="19"/>
        <v>2</v>
      </c>
      <c r="BL10" s="14"/>
      <c r="BM10" s="13"/>
      <c r="BN10" s="13">
        <f t="shared" si="20"/>
        <v>2</v>
      </c>
      <c r="BO10" s="14"/>
      <c r="BP10" s="15">
        <f t="shared" si="21"/>
        <v>0</v>
      </c>
      <c r="BQ10" s="15">
        <f t="shared" si="22"/>
        <v>2</v>
      </c>
    </row>
    <row r="11">
      <c r="A11" s="1"/>
      <c r="B11" s="10" t="s">
        <v>50</v>
      </c>
      <c r="C11" s="10" t="s">
        <v>51</v>
      </c>
      <c r="D11" s="10" t="s">
        <v>52</v>
      </c>
      <c r="E11" s="10" t="s">
        <v>43</v>
      </c>
      <c r="F11" s="10" t="s">
        <v>36</v>
      </c>
      <c r="G11" s="10">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c r="A12" s="1"/>
      <c r="B12" s="10" t="s">
        <v>53</v>
      </c>
      <c r="C12" s="10" t="s">
        <v>54</v>
      </c>
      <c r="D12" s="10" t="s">
        <v>55</v>
      </c>
      <c r="E12" s="10" t="s">
        <v>56</v>
      </c>
      <c r="F12" s="10" t="s">
        <v>36</v>
      </c>
      <c r="G12" s="16"/>
      <c r="H12" s="13"/>
      <c r="I12" s="13">
        <f t="shared" si="1"/>
        <v>0</v>
      </c>
      <c r="J12" s="14"/>
      <c r="K12" s="13"/>
      <c r="L12" s="13">
        <f t="shared" si="2"/>
        <v>0</v>
      </c>
      <c r="M12" s="14"/>
      <c r="N12" s="13"/>
      <c r="O12" s="13">
        <f t="shared" si="3"/>
        <v>0</v>
      </c>
      <c r="P12" s="14"/>
      <c r="Q12" s="13"/>
      <c r="R12" s="13">
        <f t="shared" si="4"/>
        <v>0</v>
      </c>
      <c r="S12" s="14"/>
      <c r="T12" s="13"/>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0</v>
      </c>
      <c r="BQ12" s="15">
        <f t="shared" si="22"/>
        <v>0</v>
      </c>
    </row>
    <row r="13">
      <c r="A13" s="1"/>
      <c r="B13" s="10" t="s">
        <v>57</v>
      </c>
      <c r="C13" s="10" t="s">
        <v>58</v>
      </c>
      <c r="D13" s="10" t="s">
        <v>59</v>
      </c>
      <c r="E13" s="10" t="s">
        <v>35</v>
      </c>
      <c r="F13" s="10" t="s">
        <v>60</v>
      </c>
      <c r="G13" s="10">
        <v>10.0</v>
      </c>
      <c r="H13" s="12">
        <v>1.0</v>
      </c>
      <c r="I13" s="13">
        <f t="shared" si="1"/>
        <v>9</v>
      </c>
      <c r="J13" s="14"/>
      <c r="K13" s="12">
        <v>2.0</v>
      </c>
      <c r="L13" s="13">
        <f t="shared" si="2"/>
        <v>7</v>
      </c>
      <c r="M13" s="14"/>
      <c r="N13" s="12">
        <v>1.0</v>
      </c>
      <c r="O13" s="13">
        <f t="shared" si="3"/>
        <v>6</v>
      </c>
      <c r="P13" s="14"/>
      <c r="Q13" s="12">
        <v>1.0</v>
      </c>
      <c r="R13" s="13">
        <f t="shared" si="4"/>
        <v>5</v>
      </c>
      <c r="S13" s="14"/>
      <c r="T13" s="12">
        <v>1.0</v>
      </c>
      <c r="U13" s="13">
        <f t="shared" si="5"/>
        <v>4</v>
      </c>
      <c r="V13" s="14"/>
      <c r="W13" s="12">
        <v>1.0</v>
      </c>
      <c r="X13" s="13">
        <f t="shared" si="6"/>
        <v>3</v>
      </c>
      <c r="Y13" s="14"/>
      <c r="Z13" s="13"/>
      <c r="AA13" s="13">
        <f t="shared" si="7"/>
        <v>3</v>
      </c>
      <c r="AB13" s="14"/>
      <c r="AC13" s="12">
        <v>1.0</v>
      </c>
      <c r="AD13" s="13">
        <f t="shared" si="8"/>
        <v>2</v>
      </c>
      <c r="AE13" s="14"/>
      <c r="AF13" s="12">
        <v>1.0</v>
      </c>
      <c r="AG13" s="13">
        <f t="shared" si="9"/>
        <v>1</v>
      </c>
      <c r="AH13" s="14"/>
      <c r="AI13" s="12">
        <v>1.0</v>
      </c>
      <c r="AJ13" s="13">
        <f t="shared" si="10"/>
        <v>0</v>
      </c>
      <c r="AK13" s="14"/>
      <c r="AL13" s="13"/>
      <c r="AM13" s="13">
        <f t="shared" si="11"/>
        <v>0</v>
      </c>
      <c r="AN13" s="14"/>
      <c r="AO13" s="13"/>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5">
        <f t="shared" si="21"/>
        <v>10</v>
      </c>
      <c r="BQ13" s="15">
        <f t="shared" si="22"/>
        <v>0</v>
      </c>
    </row>
    <row r="14">
      <c r="A14" s="1"/>
      <c r="B14" s="10" t="s">
        <v>61</v>
      </c>
      <c r="C14" s="10" t="s">
        <v>62</v>
      </c>
      <c r="D14" s="10" t="s">
        <v>63</v>
      </c>
      <c r="E14" s="10" t="s">
        <v>35</v>
      </c>
      <c r="F14" s="10" t="s">
        <v>36</v>
      </c>
      <c r="G14" s="10">
        <v>2.0</v>
      </c>
      <c r="H14" s="13"/>
      <c r="I14" s="13">
        <f t="shared" si="1"/>
        <v>2</v>
      </c>
      <c r="J14" s="14"/>
      <c r="K14" s="13"/>
      <c r="L14" s="13">
        <f t="shared" si="2"/>
        <v>2</v>
      </c>
      <c r="M14" s="14"/>
      <c r="N14" s="13"/>
      <c r="O14" s="13">
        <f t="shared" si="3"/>
        <v>2</v>
      </c>
      <c r="P14" s="14"/>
      <c r="Q14" s="13"/>
      <c r="R14" s="13">
        <f t="shared" si="4"/>
        <v>2</v>
      </c>
      <c r="S14" s="14"/>
      <c r="T14" s="13"/>
      <c r="U14" s="13">
        <f t="shared" si="5"/>
        <v>2</v>
      </c>
      <c r="V14" s="14"/>
      <c r="W14" s="13"/>
      <c r="X14" s="13">
        <f t="shared" si="6"/>
        <v>2</v>
      </c>
      <c r="Y14" s="14"/>
      <c r="Z14" s="12">
        <v>1.0</v>
      </c>
      <c r="AA14" s="13">
        <f t="shared" si="7"/>
        <v>1</v>
      </c>
      <c r="AB14" s="14"/>
      <c r="AC14" s="13"/>
      <c r="AD14" s="13">
        <f t="shared" si="8"/>
        <v>1</v>
      </c>
      <c r="AE14" s="14"/>
      <c r="AF14" s="13"/>
      <c r="AG14" s="13">
        <f t="shared" si="9"/>
        <v>1</v>
      </c>
      <c r="AH14" s="14"/>
      <c r="AI14" s="13"/>
      <c r="AJ14" s="13">
        <f t="shared" si="10"/>
        <v>1</v>
      </c>
      <c r="AK14" s="14"/>
      <c r="AL14" s="12">
        <v>1.0</v>
      </c>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5">
        <f t="shared" si="21"/>
        <v>2</v>
      </c>
      <c r="BQ14" s="15">
        <f t="shared" si="22"/>
        <v>0</v>
      </c>
    </row>
    <row r="15">
      <c r="A15" s="1"/>
      <c r="B15" s="10" t="s">
        <v>64</v>
      </c>
      <c r="C15" s="10" t="s">
        <v>65</v>
      </c>
      <c r="D15" s="10" t="s">
        <v>66</v>
      </c>
      <c r="E15" s="10" t="s">
        <v>56</v>
      </c>
      <c r="F15" s="10" t="s">
        <v>67</v>
      </c>
      <c r="G15" s="10">
        <v>3.0</v>
      </c>
      <c r="H15" s="13"/>
      <c r="I15" s="12">
        <v>1.0</v>
      </c>
      <c r="J15" s="14"/>
      <c r="K15" s="13"/>
      <c r="L15" s="12">
        <v>2.0</v>
      </c>
      <c r="M15" s="14"/>
      <c r="N15" s="13"/>
      <c r="O15" s="13">
        <f t="shared" si="3"/>
        <v>2</v>
      </c>
      <c r="P15" s="14"/>
      <c r="Q15" s="13"/>
      <c r="R15" s="13">
        <f t="shared" si="4"/>
        <v>2</v>
      </c>
      <c r="S15" s="14"/>
      <c r="T15" s="13"/>
      <c r="U15" s="13">
        <f t="shared" si="5"/>
        <v>2</v>
      </c>
      <c r="V15" s="14"/>
      <c r="W15" s="13"/>
      <c r="X15" s="13">
        <f t="shared" si="6"/>
        <v>2</v>
      </c>
      <c r="Y15" s="14"/>
      <c r="Z15" s="13"/>
      <c r="AA15" s="13">
        <f t="shared" si="7"/>
        <v>2</v>
      </c>
      <c r="AB15" s="14"/>
      <c r="AC15" s="13"/>
      <c r="AD15" s="13">
        <f t="shared" si="8"/>
        <v>2</v>
      </c>
      <c r="AE15" s="14"/>
      <c r="AF15" s="13"/>
      <c r="AG15" s="13">
        <f t="shared" si="9"/>
        <v>2</v>
      </c>
      <c r="AH15" s="14"/>
      <c r="AI15" s="13"/>
      <c r="AJ15" s="13">
        <f t="shared" si="10"/>
        <v>2</v>
      </c>
      <c r="AK15" s="14"/>
      <c r="AL15" s="13"/>
      <c r="AM15" s="13">
        <f t="shared" si="11"/>
        <v>2</v>
      </c>
      <c r="AN15" s="14"/>
      <c r="AO15" s="13"/>
      <c r="AP15" s="13">
        <f t="shared" si="12"/>
        <v>2</v>
      </c>
      <c r="AQ15" s="14"/>
      <c r="AR15" s="13"/>
      <c r="AS15" s="13">
        <f t="shared" si="13"/>
        <v>2</v>
      </c>
      <c r="AT15" s="14"/>
      <c r="AU15" s="13"/>
      <c r="AV15" s="13">
        <f t="shared" si="14"/>
        <v>2</v>
      </c>
      <c r="AW15" s="14"/>
      <c r="AX15" s="13"/>
      <c r="AY15" s="13">
        <f t="shared" si="15"/>
        <v>2</v>
      </c>
      <c r="AZ15" s="14"/>
      <c r="BA15" s="13"/>
      <c r="BB15" s="13">
        <f t="shared" si="16"/>
        <v>2</v>
      </c>
      <c r="BC15" s="14"/>
      <c r="BD15" s="13"/>
      <c r="BE15" s="13">
        <f t="shared" si="17"/>
        <v>2</v>
      </c>
      <c r="BF15" s="14"/>
      <c r="BG15" s="13"/>
      <c r="BH15" s="13">
        <f t="shared" si="18"/>
        <v>2</v>
      </c>
      <c r="BI15" s="14"/>
      <c r="BJ15" s="13"/>
      <c r="BK15" s="13">
        <f t="shared" si="19"/>
        <v>2</v>
      </c>
      <c r="BL15" s="14"/>
      <c r="BM15" s="13"/>
      <c r="BN15" s="13">
        <f t="shared" si="20"/>
        <v>2</v>
      </c>
      <c r="BO15" s="14"/>
      <c r="BP15" s="15">
        <f t="shared" si="21"/>
        <v>0</v>
      </c>
      <c r="BQ15" s="15">
        <f t="shared" si="22"/>
        <v>3</v>
      </c>
    </row>
    <row r="16">
      <c r="A16" s="1"/>
      <c r="B16" s="10" t="s">
        <v>68</v>
      </c>
      <c r="C16" s="10" t="s">
        <v>69</v>
      </c>
      <c r="D16" s="10" t="s">
        <v>70</v>
      </c>
      <c r="E16" s="10" t="s">
        <v>56</v>
      </c>
      <c r="F16" s="10" t="s">
        <v>67</v>
      </c>
      <c r="G16" s="10">
        <v>3.0</v>
      </c>
      <c r="H16" s="13"/>
      <c r="I16" s="12">
        <v>1.0</v>
      </c>
      <c r="J16" s="14"/>
      <c r="K16" s="13"/>
      <c r="L16" s="12">
        <v>2.0</v>
      </c>
      <c r="M16" s="14"/>
      <c r="N16" s="13"/>
      <c r="O16" s="13">
        <f t="shared" si="3"/>
        <v>2</v>
      </c>
      <c r="P16" s="14"/>
      <c r="Q16" s="13"/>
      <c r="R16" s="13">
        <f t="shared" si="4"/>
        <v>2</v>
      </c>
      <c r="S16" s="14"/>
      <c r="T16" s="13"/>
      <c r="U16" s="13">
        <f t="shared" si="5"/>
        <v>2</v>
      </c>
      <c r="V16" s="14"/>
      <c r="W16" s="13"/>
      <c r="X16" s="13">
        <f t="shared" si="6"/>
        <v>2</v>
      </c>
      <c r="Y16" s="14"/>
      <c r="Z16" s="13"/>
      <c r="AA16" s="13">
        <f t="shared" si="7"/>
        <v>2</v>
      </c>
      <c r="AB16" s="14"/>
      <c r="AC16" s="13"/>
      <c r="AD16" s="13">
        <f t="shared" si="8"/>
        <v>2</v>
      </c>
      <c r="AE16" s="14"/>
      <c r="AF16" s="13"/>
      <c r="AG16" s="13">
        <f t="shared" si="9"/>
        <v>2</v>
      </c>
      <c r="AH16" s="14"/>
      <c r="AI16" s="13"/>
      <c r="AJ16" s="13">
        <f t="shared" si="10"/>
        <v>2</v>
      </c>
      <c r="AK16" s="14"/>
      <c r="AL16" s="13"/>
      <c r="AM16" s="13">
        <f t="shared" si="11"/>
        <v>2</v>
      </c>
      <c r="AN16" s="14"/>
      <c r="AO16" s="13"/>
      <c r="AP16" s="13">
        <f t="shared" si="12"/>
        <v>2</v>
      </c>
      <c r="AQ16" s="14"/>
      <c r="AR16" s="13"/>
      <c r="AS16" s="13">
        <f t="shared" si="13"/>
        <v>2</v>
      </c>
      <c r="AT16" s="14"/>
      <c r="AU16" s="13"/>
      <c r="AV16" s="13">
        <f t="shared" si="14"/>
        <v>2</v>
      </c>
      <c r="AW16" s="14"/>
      <c r="AX16" s="13"/>
      <c r="AY16" s="13">
        <f t="shared" si="15"/>
        <v>2</v>
      </c>
      <c r="AZ16" s="14"/>
      <c r="BA16" s="13"/>
      <c r="BB16" s="13">
        <f t="shared" si="16"/>
        <v>2</v>
      </c>
      <c r="BC16" s="14"/>
      <c r="BD16" s="13"/>
      <c r="BE16" s="13">
        <f t="shared" si="17"/>
        <v>2</v>
      </c>
      <c r="BF16" s="14"/>
      <c r="BG16" s="13"/>
      <c r="BH16" s="13">
        <f t="shared" si="18"/>
        <v>2</v>
      </c>
      <c r="BI16" s="14"/>
      <c r="BJ16" s="13"/>
      <c r="BK16" s="13">
        <f t="shared" si="19"/>
        <v>2</v>
      </c>
      <c r="BL16" s="14"/>
      <c r="BM16" s="13"/>
      <c r="BN16" s="13">
        <f t="shared" si="20"/>
        <v>2</v>
      </c>
      <c r="BO16" s="14"/>
      <c r="BP16" s="15">
        <f t="shared" si="21"/>
        <v>0</v>
      </c>
      <c r="BQ16" s="15">
        <f t="shared" si="22"/>
        <v>3</v>
      </c>
    </row>
    <row r="17">
      <c r="A17" s="1"/>
      <c r="B17" s="10" t="s">
        <v>71</v>
      </c>
      <c r="C17" s="10" t="s">
        <v>72</v>
      </c>
      <c r="D17" s="10" t="s">
        <v>73</v>
      </c>
      <c r="E17" s="10" t="s">
        <v>56</v>
      </c>
      <c r="F17" s="10" t="s">
        <v>74</v>
      </c>
      <c r="G17" s="10">
        <v>5.0</v>
      </c>
      <c r="H17" s="12">
        <v>1.0</v>
      </c>
      <c r="I17" s="12">
        <v>3.0</v>
      </c>
      <c r="J17" s="14"/>
      <c r="K17" s="12">
        <v>2.0</v>
      </c>
      <c r="L17" s="12">
        <v>2.0</v>
      </c>
      <c r="M17" s="14"/>
      <c r="N17" s="12">
        <v>2.0</v>
      </c>
      <c r="O17" s="13">
        <f t="shared" si="3"/>
        <v>0</v>
      </c>
      <c r="P17" s="14"/>
      <c r="Q17" s="13"/>
      <c r="R17" s="13">
        <f t="shared" si="4"/>
        <v>0</v>
      </c>
      <c r="S17" s="14"/>
      <c r="T17" s="13"/>
      <c r="U17" s="13">
        <f t="shared" si="5"/>
        <v>0</v>
      </c>
      <c r="V17" s="14"/>
      <c r="W17" s="13"/>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5">
        <f t="shared" si="21"/>
        <v>5</v>
      </c>
      <c r="BQ17" s="15">
        <f t="shared" si="22"/>
        <v>0</v>
      </c>
    </row>
    <row r="18" ht="66.0" customHeight="1">
      <c r="A18" s="17"/>
      <c r="B18" s="18" t="s">
        <v>75</v>
      </c>
      <c r="C18" s="19" t="s">
        <v>76</v>
      </c>
      <c r="D18" s="19" t="s">
        <v>77</v>
      </c>
      <c r="E18" s="10" t="s">
        <v>78</v>
      </c>
      <c r="F18" s="10" t="s">
        <v>79</v>
      </c>
      <c r="G18" s="10">
        <v>5.0</v>
      </c>
      <c r="H18" s="12">
        <v>1.0</v>
      </c>
      <c r="I18" s="12">
        <f t="shared" ref="I18:I22" si="23">G18-H18</f>
        <v>4</v>
      </c>
      <c r="J18" s="14"/>
      <c r="K18" s="12"/>
      <c r="L18" s="12">
        <f t="shared" ref="L18:L22" si="24">I18-K18</f>
        <v>4</v>
      </c>
      <c r="M18" s="14"/>
      <c r="N18" s="12">
        <v>1.0</v>
      </c>
      <c r="O18" s="13">
        <f t="shared" si="3"/>
        <v>3</v>
      </c>
      <c r="P18" s="14"/>
      <c r="Q18" s="13"/>
      <c r="R18" s="13">
        <f t="shared" si="4"/>
        <v>3</v>
      </c>
      <c r="S18" s="14"/>
      <c r="T18" s="12">
        <v>1.0</v>
      </c>
      <c r="U18" s="13">
        <f t="shared" si="5"/>
        <v>2</v>
      </c>
      <c r="V18" s="14"/>
      <c r="W18" s="12">
        <v>1.0</v>
      </c>
      <c r="X18" s="13">
        <f t="shared" si="6"/>
        <v>1</v>
      </c>
      <c r="Y18" s="14"/>
      <c r="Z18" s="12">
        <v>1.0</v>
      </c>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5">
        <f t="shared" si="21"/>
        <v>5</v>
      </c>
      <c r="BQ18" s="15">
        <f t="shared" si="22"/>
        <v>0</v>
      </c>
    </row>
    <row r="19">
      <c r="A19" s="1"/>
      <c r="B19" s="18" t="s">
        <v>80</v>
      </c>
      <c r="C19" s="19" t="s">
        <v>81</v>
      </c>
      <c r="D19" s="20" t="s">
        <v>82</v>
      </c>
      <c r="E19" s="10" t="s">
        <v>78</v>
      </c>
      <c r="F19" s="10" t="s">
        <v>36</v>
      </c>
      <c r="G19" s="10">
        <v>4.0</v>
      </c>
      <c r="H19" s="12"/>
      <c r="I19" s="12">
        <f t="shared" si="23"/>
        <v>4</v>
      </c>
      <c r="J19" s="14"/>
      <c r="K19" s="12">
        <v>2.0</v>
      </c>
      <c r="L19" s="12">
        <f t="shared" si="24"/>
        <v>2</v>
      </c>
      <c r="M19" s="14"/>
      <c r="N19" s="12"/>
      <c r="O19" s="13">
        <f t="shared" si="3"/>
        <v>2</v>
      </c>
      <c r="P19" s="14"/>
      <c r="Q19" s="12">
        <v>2.0</v>
      </c>
      <c r="R19" s="13">
        <f t="shared" si="4"/>
        <v>0</v>
      </c>
      <c r="S19" s="14"/>
      <c r="T19" s="12"/>
      <c r="U19" s="13">
        <f t="shared" si="5"/>
        <v>0</v>
      </c>
      <c r="V19" s="14"/>
      <c r="W19" s="12"/>
      <c r="X19" s="13">
        <f t="shared" si="6"/>
        <v>0</v>
      </c>
      <c r="Y19" s="14"/>
      <c r="Z19" s="12"/>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5">
        <f t="shared" si="21"/>
        <v>4</v>
      </c>
      <c r="BQ19" s="15">
        <f t="shared" si="22"/>
        <v>0</v>
      </c>
    </row>
    <row r="20">
      <c r="A20" s="1"/>
      <c r="B20" s="18" t="s">
        <v>83</v>
      </c>
      <c r="C20" s="21" t="s">
        <v>84</v>
      </c>
      <c r="D20" s="20" t="s">
        <v>85</v>
      </c>
      <c r="E20" s="10" t="s">
        <v>78</v>
      </c>
      <c r="F20" s="10" t="s">
        <v>36</v>
      </c>
      <c r="G20" s="10">
        <v>4.0</v>
      </c>
      <c r="H20" s="12"/>
      <c r="I20" s="12">
        <f t="shared" si="23"/>
        <v>4</v>
      </c>
      <c r="J20" s="14"/>
      <c r="K20" s="12"/>
      <c r="L20" s="12">
        <f t="shared" si="24"/>
        <v>4</v>
      </c>
      <c r="M20" s="14"/>
      <c r="N20" s="12"/>
      <c r="O20" s="13">
        <f t="shared" si="3"/>
        <v>4</v>
      </c>
      <c r="P20" s="14"/>
      <c r="Q20" s="13"/>
      <c r="R20" s="13">
        <f t="shared" si="4"/>
        <v>4</v>
      </c>
      <c r="S20" s="14"/>
      <c r="T20" s="12">
        <v>2.0</v>
      </c>
      <c r="U20" s="13">
        <f t="shared" si="5"/>
        <v>2</v>
      </c>
      <c r="V20" s="14"/>
      <c r="W20" s="12">
        <v>1.0</v>
      </c>
      <c r="X20" s="13">
        <f t="shared" si="6"/>
        <v>1</v>
      </c>
      <c r="Y20" s="14"/>
      <c r="Z20" s="12">
        <v>1.0</v>
      </c>
      <c r="AA20" s="13">
        <f t="shared" si="7"/>
        <v>0</v>
      </c>
      <c r="AB20" s="14"/>
      <c r="AC20" s="13"/>
      <c r="AD20" s="13">
        <f t="shared" si="8"/>
        <v>0</v>
      </c>
      <c r="AE20" s="14"/>
      <c r="AF20" s="13"/>
      <c r="AG20" s="13">
        <f t="shared" si="9"/>
        <v>0</v>
      </c>
      <c r="AH20" s="14"/>
      <c r="AI20" s="13"/>
      <c r="AJ20" s="13">
        <f t="shared" si="10"/>
        <v>0</v>
      </c>
      <c r="AK20" s="14"/>
      <c r="AL20" s="13"/>
      <c r="AM20" s="13">
        <f t="shared" si="11"/>
        <v>0</v>
      </c>
      <c r="AN20" s="14"/>
      <c r="AO20" s="13"/>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5">
        <f t="shared" si="21"/>
        <v>4</v>
      </c>
      <c r="BQ20" s="15">
        <f t="shared" si="22"/>
        <v>0</v>
      </c>
    </row>
    <row r="21">
      <c r="A21" s="1"/>
      <c r="B21" s="18" t="s">
        <v>86</v>
      </c>
      <c r="C21" s="19" t="s">
        <v>87</v>
      </c>
      <c r="D21" s="19" t="s">
        <v>88</v>
      </c>
      <c r="E21" s="10" t="s">
        <v>78</v>
      </c>
      <c r="F21" s="10" t="s">
        <v>36</v>
      </c>
      <c r="G21" s="10">
        <v>3.0</v>
      </c>
      <c r="H21" s="12"/>
      <c r="I21" s="12">
        <f t="shared" si="23"/>
        <v>3</v>
      </c>
      <c r="J21" s="14"/>
      <c r="K21" s="12"/>
      <c r="L21" s="12">
        <f t="shared" si="24"/>
        <v>3</v>
      </c>
      <c r="M21" s="14"/>
      <c r="N21" s="12"/>
      <c r="O21" s="13">
        <f t="shared" si="3"/>
        <v>3</v>
      </c>
      <c r="P21" s="14"/>
      <c r="Q21" s="13"/>
      <c r="R21" s="13">
        <f t="shared" si="4"/>
        <v>3</v>
      </c>
      <c r="S21" s="14"/>
      <c r="T21" s="12"/>
      <c r="U21" s="13">
        <f t="shared" si="5"/>
        <v>3</v>
      </c>
      <c r="V21" s="14"/>
      <c r="W21" s="12"/>
      <c r="X21" s="13">
        <f t="shared" si="6"/>
        <v>3</v>
      </c>
      <c r="Y21" s="14"/>
      <c r="Z21" s="12">
        <v>1.0</v>
      </c>
      <c r="AA21" s="13">
        <f t="shared" si="7"/>
        <v>2</v>
      </c>
      <c r="AB21" s="14"/>
      <c r="AC21" s="12">
        <v>2.0</v>
      </c>
      <c r="AD21" s="13">
        <f t="shared" si="8"/>
        <v>0</v>
      </c>
      <c r="AE21" s="14"/>
      <c r="AF21" s="13"/>
      <c r="AG21" s="13">
        <f t="shared" si="9"/>
        <v>0</v>
      </c>
      <c r="AH21" s="14"/>
      <c r="AI21" s="13"/>
      <c r="AJ21" s="13">
        <f t="shared" si="10"/>
        <v>0</v>
      </c>
      <c r="AK21" s="14"/>
      <c r="AL21" s="13"/>
      <c r="AM21" s="13">
        <f t="shared" si="11"/>
        <v>0</v>
      </c>
      <c r="AN21" s="14"/>
      <c r="AO21" s="13"/>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5">
        <f t="shared" si="21"/>
        <v>3</v>
      </c>
      <c r="BQ21" s="15">
        <f t="shared" si="22"/>
        <v>0</v>
      </c>
    </row>
    <row r="22" ht="15.75" customHeight="1">
      <c r="A22" s="1"/>
      <c r="B22" s="22" t="s">
        <v>89</v>
      </c>
      <c r="C22" s="19"/>
      <c r="D22" s="19"/>
      <c r="E22" s="10"/>
      <c r="F22" s="10"/>
      <c r="G22" s="10"/>
      <c r="H22" s="12"/>
      <c r="I22" s="12">
        <f t="shared" si="23"/>
        <v>0</v>
      </c>
      <c r="J22" s="14"/>
      <c r="K22" s="12"/>
      <c r="L22" s="12">
        <f t="shared" si="24"/>
        <v>0</v>
      </c>
      <c r="M22" s="14"/>
      <c r="N22" s="12"/>
      <c r="O22" s="13">
        <f t="shared" si="3"/>
        <v>0</v>
      </c>
      <c r="P22" s="14"/>
      <c r="Q22" s="13"/>
      <c r="R22" s="13">
        <f t="shared" si="4"/>
        <v>0</v>
      </c>
      <c r="S22" s="14"/>
      <c r="T22" s="12"/>
      <c r="U22" s="13">
        <f t="shared" si="5"/>
        <v>0</v>
      </c>
      <c r="V22" s="14"/>
      <c r="W22" s="12"/>
      <c r="X22" s="13">
        <f t="shared" si="6"/>
        <v>0</v>
      </c>
      <c r="Y22" s="14"/>
      <c r="Z22" s="12"/>
      <c r="AA22" s="13">
        <f t="shared" si="7"/>
        <v>0</v>
      </c>
      <c r="AB22" s="14"/>
      <c r="AC22" s="13"/>
      <c r="AD22" s="13">
        <f t="shared" si="8"/>
        <v>0</v>
      </c>
      <c r="AE22" s="14"/>
      <c r="AF22" s="13"/>
      <c r="AG22" s="13">
        <f t="shared" si="9"/>
        <v>0</v>
      </c>
      <c r="AH22" s="14"/>
      <c r="AI22" s="13"/>
      <c r="AJ22" s="13">
        <f t="shared" si="10"/>
        <v>0</v>
      </c>
      <c r="AK22" s="14"/>
      <c r="AL22" s="13"/>
      <c r="AM22" s="13">
        <f t="shared" si="11"/>
        <v>0</v>
      </c>
      <c r="AN22" s="14"/>
      <c r="AO22" s="13"/>
      <c r="AP22" s="13">
        <f t="shared" si="12"/>
        <v>0</v>
      </c>
      <c r="AQ22" s="14"/>
      <c r="AR22" s="13"/>
      <c r="AS22" s="13">
        <f t="shared" si="13"/>
        <v>0</v>
      </c>
      <c r="AT22" s="14"/>
      <c r="AU22" s="13"/>
      <c r="AV22" s="13">
        <f t="shared" si="14"/>
        <v>0</v>
      </c>
      <c r="AW22" s="14"/>
      <c r="AX22" s="13"/>
      <c r="AY22" s="13">
        <f t="shared" si="15"/>
        <v>0</v>
      </c>
      <c r="AZ22" s="14"/>
      <c r="BA22" s="13"/>
      <c r="BB22" s="13">
        <f t="shared" si="16"/>
        <v>0</v>
      </c>
      <c r="BC22" s="14"/>
      <c r="BD22" s="13"/>
      <c r="BE22" s="13">
        <f t="shared" si="17"/>
        <v>0</v>
      </c>
      <c r="BF22" s="14"/>
      <c r="BG22" s="13"/>
      <c r="BH22" s="13">
        <f t="shared" si="18"/>
        <v>0</v>
      </c>
      <c r="BI22" s="14"/>
      <c r="BJ22" s="13"/>
      <c r="BK22" s="13">
        <f t="shared" si="19"/>
        <v>0</v>
      </c>
      <c r="BL22" s="14"/>
      <c r="BM22" s="13"/>
      <c r="BN22" s="13">
        <f t="shared" si="20"/>
        <v>0</v>
      </c>
      <c r="BO22" s="14"/>
      <c r="BP22" s="15">
        <f t="shared" si="21"/>
        <v>0</v>
      </c>
      <c r="BQ22" s="15">
        <f t="shared" si="22"/>
        <v>0</v>
      </c>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91</v>
      </c>
      <c r="C4" s="23" t="s">
        <v>92</v>
      </c>
      <c r="D4" s="1"/>
      <c r="E4" s="1"/>
      <c r="F4" s="1"/>
      <c r="G4" s="1"/>
      <c r="H4" s="1"/>
      <c r="I4" s="1"/>
      <c r="J4" s="1"/>
      <c r="K4" s="1"/>
      <c r="L4" s="1"/>
      <c r="M4" s="1"/>
      <c r="N4" s="1"/>
      <c r="O4" s="1"/>
      <c r="P4" s="1"/>
      <c r="Q4" s="1"/>
      <c r="R4" s="1"/>
      <c r="S4" s="1"/>
      <c r="T4" s="1"/>
      <c r="U4" s="1"/>
      <c r="V4" s="1"/>
      <c r="W4" s="1"/>
      <c r="X4" s="1"/>
      <c r="Y4" s="1"/>
      <c r="Z4" s="1"/>
    </row>
    <row r="5">
      <c r="A5" s="1"/>
      <c r="B5" s="16" t="str">
        <f>'Historias de Usuario'!B5</f>
        <v>Identificador (ID) de item de product backlog</v>
      </c>
      <c r="C5" s="16" t="s">
        <v>93</v>
      </c>
      <c r="D5" s="1"/>
      <c r="E5" s="1"/>
      <c r="F5" s="1"/>
      <c r="G5" s="1"/>
      <c r="H5" s="1"/>
      <c r="I5" s="1"/>
      <c r="J5" s="1"/>
      <c r="K5" s="1"/>
      <c r="L5" s="1"/>
      <c r="M5" s="1"/>
      <c r="N5" s="1"/>
      <c r="O5" s="1"/>
      <c r="P5" s="1"/>
      <c r="Q5" s="1"/>
      <c r="R5" s="1"/>
      <c r="S5" s="1"/>
      <c r="T5" s="1"/>
      <c r="U5" s="1"/>
      <c r="V5" s="1"/>
      <c r="W5" s="1"/>
      <c r="X5" s="1"/>
      <c r="Y5" s="1"/>
      <c r="Z5" s="1"/>
    </row>
    <row r="6">
      <c r="A6" s="1"/>
      <c r="B6" s="16" t="str">
        <f>'Historias de Usuario'!C5</f>
        <v>Enunciado del item de Product Backlog</v>
      </c>
      <c r="C6" s="16" t="s">
        <v>94</v>
      </c>
      <c r="D6" s="1"/>
      <c r="E6" s="1"/>
      <c r="F6" s="1"/>
      <c r="G6" s="1"/>
      <c r="H6" s="1"/>
      <c r="I6" s="1"/>
      <c r="J6" s="1"/>
      <c r="K6" s="1"/>
      <c r="L6" s="1"/>
      <c r="M6" s="1"/>
      <c r="N6" s="1"/>
      <c r="O6" s="1"/>
      <c r="P6" s="1"/>
      <c r="Q6" s="1"/>
      <c r="R6" s="1"/>
      <c r="S6" s="1"/>
      <c r="T6" s="1"/>
      <c r="U6" s="1"/>
      <c r="V6" s="1"/>
      <c r="W6" s="1"/>
      <c r="X6" s="1"/>
      <c r="Y6" s="1"/>
      <c r="Z6" s="1"/>
    </row>
    <row r="7">
      <c r="A7" s="1"/>
      <c r="B7" s="16" t="s">
        <v>26</v>
      </c>
      <c r="C7" s="16" t="s">
        <v>95</v>
      </c>
      <c r="D7" s="1"/>
      <c r="E7" s="1"/>
      <c r="F7" s="1"/>
      <c r="G7" s="1"/>
      <c r="H7" s="1"/>
      <c r="I7" s="1"/>
      <c r="J7" s="1"/>
      <c r="K7" s="1"/>
      <c r="L7" s="1"/>
      <c r="M7" s="1"/>
      <c r="N7" s="1"/>
      <c r="O7" s="1"/>
      <c r="P7" s="1"/>
      <c r="Q7" s="1"/>
      <c r="R7" s="1"/>
      <c r="S7" s="1"/>
      <c r="T7" s="1"/>
      <c r="U7" s="1"/>
      <c r="V7" s="1"/>
      <c r="W7" s="1"/>
      <c r="X7" s="1"/>
      <c r="Y7" s="1"/>
      <c r="Z7" s="1"/>
    </row>
    <row r="8">
      <c r="A8" s="1"/>
      <c r="B8" s="16" t="s">
        <v>27</v>
      </c>
      <c r="C8" s="16" t="s">
        <v>96</v>
      </c>
      <c r="D8" s="1"/>
      <c r="E8" s="1"/>
      <c r="F8" s="1"/>
      <c r="G8" s="1"/>
      <c r="H8" s="1"/>
      <c r="I8" s="1"/>
      <c r="J8" s="1"/>
      <c r="K8" s="1"/>
      <c r="L8" s="1"/>
      <c r="M8" s="1"/>
      <c r="N8" s="1"/>
      <c r="O8" s="1"/>
      <c r="P8" s="1"/>
      <c r="Q8" s="1"/>
      <c r="R8" s="1"/>
      <c r="S8" s="1"/>
      <c r="T8" s="1"/>
      <c r="U8" s="1"/>
      <c r="V8" s="1"/>
      <c r="W8" s="1"/>
      <c r="X8" s="1"/>
      <c r="Y8" s="1"/>
      <c r="Z8" s="1"/>
    </row>
    <row r="9">
      <c r="A9" s="1"/>
      <c r="B9" s="16" t="s">
        <v>28</v>
      </c>
      <c r="C9" s="16" t="s">
        <v>97</v>
      </c>
      <c r="D9" s="1"/>
      <c r="E9" s="1"/>
      <c r="F9" s="1"/>
      <c r="G9" s="1"/>
      <c r="H9" s="1"/>
      <c r="I9" s="1"/>
      <c r="J9" s="1"/>
      <c r="K9" s="1"/>
      <c r="L9" s="1"/>
      <c r="M9" s="1"/>
      <c r="N9" s="1"/>
      <c r="O9" s="1"/>
      <c r="P9" s="1"/>
      <c r="Q9" s="1"/>
      <c r="R9" s="1"/>
      <c r="S9" s="1"/>
      <c r="T9" s="1"/>
      <c r="U9" s="1"/>
      <c r="V9" s="1"/>
      <c r="W9" s="1"/>
      <c r="X9" s="1"/>
      <c r="Y9" s="1"/>
      <c r="Z9" s="1"/>
    </row>
    <row r="10">
      <c r="A10" s="1"/>
      <c r="B10" s="16" t="s">
        <v>29</v>
      </c>
      <c r="C10" s="16" t="s">
        <v>98</v>
      </c>
      <c r="D10" s="1"/>
      <c r="E10" s="1"/>
      <c r="F10" s="1"/>
      <c r="G10" s="1"/>
      <c r="H10" s="1"/>
      <c r="I10" s="1"/>
      <c r="J10" s="1"/>
      <c r="K10" s="1"/>
      <c r="L10" s="1"/>
      <c r="M10" s="1"/>
      <c r="N10" s="1"/>
      <c r="O10" s="1"/>
      <c r="P10" s="1"/>
      <c r="Q10" s="1"/>
      <c r="R10" s="1"/>
      <c r="S10" s="1"/>
      <c r="T10" s="1"/>
      <c r="U10" s="1"/>
      <c r="V10" s="1"/>
      <c r="W10" s="1"/>
      <c r="X10" s="1"/>
      <c r="Y10" s="1"/>
      <c r="Z10" s="1"/>
    </row>
    <row r="11">
      <c r="A11" s="1"/>
      <c r="B11" s="16" t="s">
        <v>99</v>
      </c>
      <c r="C11" s="16" t="s">
        <v>100</v>
      </c>
      <c r="D11" s="1"/>
      <c r="E11" s="1"/>
      <c r="F11" s="1"/>
      <c r="G11" s="1"/>
      <c r="H11" s="1"/>
      <c r="I11" s="1"/>
      <c r="J11" s="1"/>
      <c r="K11" s="1"/>
      <c r="L11" s="1"/>
      <c r="M11" s="1"/>
      <c r="N11" s="1"/>
      <c r="O11" s="1"/>
      <c r="P11" s="1"/>
      <c r="Q11" s="1"/>
      <c r="R11" s="1"/>
      <c r="S11" s="1"/>
      <c r="T11" s="1"/>
      <c r="U11" s="1"/>
      <c r="V11" s="1"/>
      <c r="W11" s="1"/>
      <c r="X11" s="1"/>
      <c r="Y11" s="1"/>
      <c r="Z11" s="1"/>
    </row>
    <row r="12">
      <c r="A12" s="1"/>
      <c r="B12" s="16" t="s">
        <v>30</v>
      </c>
      <c r="C12" s="16" t="s">
        <v>101</v>
      </c>
      <c r="D12" s="1"/>
      <c r="E12" s="1"/>
      <c r="F12" s="1"/>
      <c r="G12" s="1"/>
      <c r="H12" s="1"/>
      <c r="I12" s="1"/>
      <c r="J12" s="1"/>
      <c r="K12" s="1"/>
      <c r="L12" s="1"/>
      <c r="M12" s="1"/>
      <c r="N12" s="1"/>
      <c r="O12" s="1"/>
      <c r="P12" s="1"/>
      <c r="Q12" s="1"/>
      <c r="R12" s="1"/>
      <c r="S12" s="1"/>
      <c r="T12" s="1"/>
      <c r="U12" s="1"/>
      <c r="V12" s="1"/>
      <c r="W12" s="1"/>
      <c r="X12" s="1"/>
      <c r="Y12" s="1"/>
      <c r="Z12" s="1"/>
    </row>
    <row r="13">
      <c r="A13" s="1"/>
      <c r="B13" s="16" t="s">
        <v>31</v>
      </c>
      <c r="C13" s="16" t="s">
        <v>102</v>
      </c>
      <c r="D13" s="1"/>
      <c r="E13" s="1"/>
      <c r="F13" s="1"/>
      <c r="G13" s="1"/>
      <c r="H13" s="1"/>
      <c r="I13" s="1"/>
      <c r="J13" s="1"/>
      <c r="K13" s="1"/>
      <c r="L13" s="1"/>
      <c r="M13" s="1"/>
      <c r="N13" s="1"/>
      <c r="O13" s="1"/>
      <c r="P13" s="1"/>
      <c r="Q13" s="1"/>
      <c r="R13" s="1"/>
      <c r="S13" s="1"/>
      <c r="T13" s="1"/>
      <c r="U13" s="1"/>
      <c r="V13" s="1"/>
      <c r="W13" s="1"/>
      <c r="X13" s="1"/>
      <c r="Y13" s="1"/>
      <c r="Z13" s="1"/>
    </row>
    <row r="14">
      <c r="A14" s="1"/>
      <c r="B14" s="16" t="s">
        <v>23</v>
      </c>
      <c r="C14" s="16" t="s">
        <v>103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